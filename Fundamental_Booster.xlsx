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2fc1ae77133e07/Desktop/Excel_Labwork/"/>
    </mc:Choice>
  </mc:AlternateContent>
  <xr:revisionPtr revIDLastSave="731" documentId="8_{9296FA58-6925-4C02-92D0-A1690637C6A5}" xr6:coauthVersionLast="47" xr6:coauthVersionMax="47" xr10:uidLastSave="{E837429A-3380-4DDD-AF02-E9186DDF72E8}"/>
  <bookViews>
    <workbookView xWindow="-108" yWindow="-108" windowWidth="23256" windowHeight="12456" xr2:uid="{C3360683-3613-4547-861E-07046E69D1D6}"/>
  </bookViews>
  <sheets>
    <sheet name="Sales Data" sheetId="2" r:id="rId1"/>
    <sheet name="Students Grade" sheetId="1" r:id="rId2"/>
    <sheet name="Employe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31" i="3"/>
  <c r="B30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B26" i="2"/>
  <c r="B27" i="3"/>
  <c r="B26" i="3"/>
  <c r="B25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B29" i="2"/>
  <c r="B28" i="2"/>
  <c r="B2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B27" i="1"/>
  <c r="B26" i="1"/>
  <c r="B25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<sst xmlns="http://schemas.openxmlformats.org/spreadsheetml/2006/main" count="164" uniqueCount="115">
  <si>
    <t>Student ID</t>
  </si>
  <si>
    <t>Name</t>
  </si>
  <si>
    <t>Math</t>
  </si>
  <si>
    <t>Science</t>
  </si>
  <si>
    <t>English</t>
  </si>
  <si>
    <t>Enrollment Date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</si>
  <si>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</si>
  <si>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</si>
  <si>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</si>
  <si>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</si>
  <si>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</si>
  <si>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</si>
  <si>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</si>
  <si>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</si>
  <si>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</si>
  <si>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</si>
  <si>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</si>
  <si>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</si>
  <si>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</si>
  <si>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</si>
  <si>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</si>
  <si>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</si>
  <si>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</si>
  <si>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</si>
  <si>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</si>
  <si>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</si>
  <si>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</si>
  <si>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</si>
  <si>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</si>
  <si>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</si>
  <si>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</si>
  <si>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</si>
  <si>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</si>
  <si>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</si>
  <si>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</si>
  <si>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</si>
  <si>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</si>
  <si>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</si>
  <si>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</si>
  <si>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</si>
  <si>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</si>
  <si>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</si>
  <si>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</si>
  <si>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</si>
  <si>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</si>
  <si>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</si>
  <si>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</si>
  <si>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</si>
  <si>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</si>
  <si>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</si>
  <si>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</si>
  <si>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</si>
  <si>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</si>
  <si>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</si>
  <si>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</si>
  <si>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</si>
  <si>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</si>
  <si>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</si>
  <si>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</si>
  <si>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</si>
  <si>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</si>
  <si>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</si>
  <si>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</si>
  <si>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</si>
  <si>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</si>
  <si>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</si>
  <si>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</si>
  <si>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</si>
  <si>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</si>
  <si>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</si>
  <si>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</si>
  <si>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</si>
  <si>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</si>
  <si>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</si>
  <si>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</si>
  <si>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</si>
  <si>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</si>
  <si>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</si>
  <si>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</si>
  <si>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</si>
  <si>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</si>
  <si>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</si>
  <si>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</si>
  <si>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</si>
  <si>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</si>
  <si>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</si>
  <si>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</si>
  <si>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</si>
  <si>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</si>
  <si>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Math Grade</t>
  </si>
  <si>
    <t>Science Grade</t>
  </si>
  <si>
    <t>High Achiver (AND)</t>
  </si>
  <si>
    <t>Discount Eligible (OR)</t>
  </si>
  <si>
    <t>Summery Matrics</t>
  </si>
  <si>
    <t>Total Students</t>
  </si>
  <si>
    <t>Students Math&gt;60</t>
  </si>
  <si>
    <t>AverageMathScore</t>
  </si>
  <si>
    <t>Discount Tire</t>
  </si>
  <si>
    <t>Sales Summary</t>
  </si>
  <si>
    <t>Total Sales Amount</t>
  </si>
  <si>
    <t>EastRegionTotalSales</t>
  </si>
  <si>
    <t>KeyboardAverageSales</t>
  </si>
  <si>
    <t>Rounded Salary</t>
  </si>
  <si>
    <t>Salary Category</t>
  </si>
  <si>
    <t>HR Summary</t>
  </si>
  <si>
    <t>Total Employees</t>
  </si>
  <si>
    <t>Finance Total Salary</t>
  </si>
  <si>
    <t>IT Average Salary</t>
  </si>
  <si>
    <t>Region Status</t>
  </si>
  <si>
    <t>VLOOKUP</t>
  </si>
  <si>
    <t>INDEX / MATCH</t>
  </si>
  <si>
    <t>XMATCH</t>
  </si>
  <si>
    <t>Years of Tenure</t>
  </si>
  <si>
    <t>XLOOKUP Salary</t>
  </si>
  <si>
    <t>INDEX/MATCH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</si>
</sst>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7" formatCode="&quot;₹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1" xfId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4" fillId="0" borderId="0" xfId="0" applyFont="1"/>
    <xf numFmtId="167" fontId="3" fillId="0" borderId="1" xfId="1" applyNumberFormat="1" applyFont="1" applyBorder="1" applyAlignment="1">
      <alignment horizontal="center" vertical="center"/>
    </xf>
    <xf numFmtId="167" fontId="3" fillId="0" borderId="9" xfId="1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4" fontId="3" fillId="0" borderId="10" xfId="1" applyNumberFormat="1" applyFont="1" applyBorder="1" applyAlignment="1">
      <alignment horizontal="center" vertic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4CFE2DCA-7892-4623-A5CC-AFC95E74CD61}"/>
  </cellStyles>
  <dxfs count="5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0D2B44-520B-4B10-89C9-2381418A71D5}" name="Table8" displayName="Table8" ref="A1:F21" totalsRowShown="0" headerRowDxfId="51" dataDxfId="49" headerRowBorderDxfId="50" tableBorderDxfId="48" totalsRowBorderDxfId="47" headerRowCellStyle="Normal 2" dataCellStyle="Normal 2">
  <autoFilter ref="A1:F21" xr:uid="{960D2B44-520B-4B10-89C9-2381418A71D5}"/>
  <tableColumns count="6">
    <tableColumn id="1" xr3:uid="{FE70920F-60A6-4715-B959-4D641BAB1BAB}" name="Sales ID" dataDxfId="46" dataCellStyle="Normal 2"/>
    <tableColumn id="2" xr3:uid="{EDBE1D36-7C36-49A0-81E4-D13D56C5B9D7}" name="Product" dataDxfId="45" dataCellStyle="Normal 2"/>
    <tableColumn id="3" xr3:uid="{14D067C6-55A2-4286-9F38-8982D0D6BD5C}" name="Region" dataDxfId="44" dataCellStyle="Normal 2"/>
    <tableColumn id="4" xr3:uid="{27D56474-6B9B-4631-9D8A-0AC762D25543}" name="Salesperson" dataDxfId="5" dataCellStyle="Normal 2"/>
    <tableColumn id="5" xr3:uid="{3B3DE924-A7BB-4D84-8E0B-E2DE9800D68F}" name="Amount" dataDxfId="4" dataCellStyle="Normal 2"/>
    <tableColumn id="6" xr3:uid="{B0A8BFFE-A9DD-4659-B7A8-4986CC5CDD73}" name="Date" dataDxfId="3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A3CA3E-1EE1-4778-9519-969A32588B89}" name="Table9" displayName="Table9" ref="H1:H21" totalsRowShown="0" dataDxfId="43">
  <autoFilter ref="H1:H21" xr:uid="{24A3CA3E-1EE1-4778-9519-969A32588B89}"/>
  <tableColumns count="1">
    <tableColumn id="1" xr3:uid="{F0D4A882-C127-4AF1-9EF5-2100E3A36D41}" name="Discount Tire" dataDxfId="42">
      <calculatedColumnFormula>IF(E2&gt;40000, "Tier 1", IF(E2&gt;20000, "Tier 2", "Tier 3"))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162AEB-97F4-4670-B716-BEA85EBC009A}" name="Table10" displayName="Table10" ref="J1:J21" totalsRowShown="0" dataDxfId="41">
  <autoFilter ref="J1:J21" xr:uid="{86162AEB-97F4-4670-B716-BEA85EBC009A}"/>
  <tableColumns count="1">
    <tableColumn id="1" xr3:uid="{8C78E7FD-4FB7-48BB-8582-2D2EE23B2F25}" name="Region Status" dataDxfId="40">
      <calculatedColumnFormula>IF(OR(C2="East", E2&gt;35000), "Priority", "Standard")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CF5597-EF7C-4BD3-A615-DAADD52945C1}" name="Table1" displayName="Table1" ref="H1:H21" totalsRowShown="0" headerRowDxfId="39" dataDxfId="38" headerRowCellStyle="Normal 2">
  <autoFilter ref="H1:H21" xr:uid="{28CF5597-EF7C-4BD3-A615-DAADD52945C1}"/>
  <tableColumns count="1">
    <tableColumn id="1" xr3:uid="{7527B108-300C-4729-BBE2-50008514501A}" name="Math Grade" dataDxfId="37">
      <calculatedColumnFormula>IF(C2&gt;=90, "A", IF(C2&gt;=80, "B", IF(C2&gt;=70, "C", IF(C2&gt;=60, "D", "F"))))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FB6827-F841-4BD0-A802-CB879FF0F4D3}" name="Table4" displayName="Table4" ref="A1:F21" totalsRowShown="0" headerRowDxfId="36" dataDxfId="34" headerRowBorderDxfId="35" tableBorderDxfId="33" totalsRowBorderDxfId="32" headerRowCellStyle="Normal 2" dataCellStyle="Normal 2">
  <autoFilter ref="A1:F21" xr:uid="{D7FB6827-F841-4BD0-A802-CB879FF0F4D3}"/>
  <tableColumns count="6">
    <tableColumn id="1" xr3:uid="{1B5DA829-1174-4DF1-8E50-FAFD7E28EF37}" name="Student ID" dataDxfId="31" dataCellStyle="Normal 2"/>
    <tableColumn id="2" xr3:uid="{56E3ED7E-4263-4370-850D-367DAC586B5B}" name="Name" dataDxfId="30" dataCellStyle="Normal 2"/>
    <tableColumn id="3" xr3:uid="{FE846804-647A-4F9B-9891-D347A18CDE55}" name="Math" dataDxfId="29" dataCellStyle="Normal 2"/>
    <tableColumn id="4" xr3:uid="{8E7F7127-4A3D-439C-A089-B0FB53864AC6}" name="Science" dataDxfId="28" dataCellStyle="Normal 2"/>
    <tableColumn id="5" xr3:uid="{7C709F0B-8DA3-45FF-9C92-DD71045A7BDF}" name="English" dataDxfId="7" dataCellStyle="Normal 2"/>
    <tableColumn id="6" xr3:uid="{390FDC4C-D323-4025-8C16-4B802D7324E8}" name="Enrollment Date" dataDxfId="6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524419-796D-4E61-8B88-CBB1EB1A44CD}" name="Table5" displayName="Table5" ref="J1:J21" totalsRowShown="0" dataDxfId="27">
  <autoFilter ref="J1:J21" xr:uid="{79524419-796D-4E61-8B88-CBB1EB1A44CD}"/>
  <tableColumns count="1">
    <tableColumn id="1" xr3:uid="{F8EE6788-B0FB-448F-833B-A9B98377CEAD}" name="Science Grade" dataDxfId="26">
      <calculatedColumnFormula>IF(D2&gt;=90, "A", IF(D2&gt;=80, "B", IF(D2&gt;=70, "C", IF(D2&gt;=60, "D", "F"))))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02786B-F421-4192-9FB7-A5CB2932DDC6}" name="Table6" displayName="Table6" ref="L1:L21" totalsRowShown="0" dataDxfId="25">
  <autoFilter ref="L1:L21" xr:uid="{F302786B-F421-4192-9FB7-A5CB2932DDC6}"/>
  <tableColumns count="1">
    <tableColumn id="1" xr3:uid="{7CF539A1-24B8-4635-ABA7-200FD2BAECE8}" name="High Achiver (AND)" dataDxfId="24">
      <calculatedColumnFormula>IF(AND(C2&gt;80, D2&gt;80), "Excellent", "Standard")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89F89F-2033-4395-AD91-E71E79EA2D04}" name="Table7" displayName="Table7" ref="N1:N21" totalsRowShown="0" dataDxfId="23">
  <autoFilter ref="N1:N21" xr:uid="{B289F89F-2033-4395-AD91-E71E79EA2D04}"/>
  <tableColumns count="1">
    <tableColumn id="1" xr3:uid="{49909B64-BA79-4145-AA68-47BFE31E6347}" name="Discount Eligible (OR)" dataDxfId="22">
      <calculatedColumnFormula>IF(OR(C2&gt;85, E2&gt;85), "Eligible", "Standard")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C7B506-F287-4EC0-9584-A2C508AFC71A}" name="Table11" displayName="Table11" ref="A1:E21" totalsRowShown="0" headerRowDxfId="21" dataDxfId="19" headerRowBorderDxfId="20" tableBorderDxfId="18" totalsRowBorderDxfId="17" headerRowCellStyle="Normal 2" dataCellStyle="Normal 2">
  <autoFilter ref="A1:E21" xr:uid="{5EC7B506-F287-4EC0-9584-A2C508AFC71A}"/>
  <tableColumns count="5">
    <tableColumn id="1" xr3:uid="{BA4842F3-B76B-4DE5-931B-74C41E0C5EA8}" name="Employee ID" dataDxfId="16" dataCellStyle="Normal 2"/>
    <tableColumn id="2" xr3:uid="{0A54B073-0F6D-494E-8F2F-48275E7822A6}" name="Name" dataDxfId="15" dataCellStyle="Normal 2"/>
    <tableColumn id="3" xr3:uid="{E564A2A3-4E53-4F21-894E-421099DB0B78}" name="Department" dataDxfId="10" dataCellStyle="Normal 2"/>
    <tableColumn id="4" xr3:uid="{99CD7509-FA43-4DC4-90C8-3ECF426F03D1}" name="Salary" dataDxfId="9" dataCellStyle="Normal 2"/>
    <tableColumn id="5" xr3:uid="{E909FF97-4A6D-4E39-B748-5C05D2EC4328}" name="Joining Date" dataDxfId="8" dataCellStyle="Normal 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79A00C-CE4E-4CD9-A092-FB636859517F}" name="Table12" displayName="Table12" ref="G1:G21" totalsRowShown="0" dataDxfId="14">
  <autoFilter ref="G1:G21" xr:uid="{CA79A00C-CE4E-4CD9-A092-FB636859517F}"/>
  <tableColumns count="1">
    <tableColumn id="1" xr3:uid="{58BEBD62-0C0E-4BA0-A201-6158762FD330}" name="Rounded Salary" dataDxfId="13">
      <calculatedColumnFormula>ROUND(D2, -3)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AB330A-E3EC-43EA-A7FA-FBDF7BDD1632}" name="Table13" displayName="Table13" ref="K1:K21" totalsRowShown="0" dataDxfId="12">
  <autoFilter ref="K1:K21" xr:uid="{D2AB330A-E3EC-43EA-A7FA-FBDF7BDD1632}"/>
  <tableColumns count="1">
    <tableColumn id="1" xr3:uid="{8894C020-D91C-4413-BB29-44B47D22C502}" name="Salary Category" dataDxfId="11">
      <calculatedColumnFormula>IF(D2&gt;100000, "Senior", IF(D2&gt;60000, "Mid-Level", "Junior"))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07293B-5E4C-42EF-A44E-2473EDF71A46}" name="Table2" displayName="Table2" ref="M1:M21" totalsRowShown="0" headerRowDxfId="0" dataDxfId="1">
  <autoFilter ref="M1:M21" xr:uid="{DE07293B-5E4C-42EF-A44E-2473EDF71A46}"/>
  <tableColumns count="1">
    <tableColumn id="1" xr3:uid="{616DB6FC-0B1F-4D22-9452-106513384CE1}" name="Years of Tenure" dataDxfId="2">
      <calculatedColumnFormula>DATEDIF(E2, TODAY(), "Y")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D6F5-A568-45FC-8A09-72051272FBD5}">
  <dimension ref="A1:J29"/>
  <sheetViews>
    <sheetView tabSelected="1" topLeftCell="A3" workbookViewId="0">
      <selection activeCell="B26" sqref="B26"/>
    </sheetView>
  </sheetViews>
  <sheetFormatPr defaultRowHeight="14.4" x14ac:dyDescent="0.3"/>
  <cols>
    <col min="1" max="1" width="14" bestFit="1" customWidth="1"/>
    <col min="2" max="2" width="12.109375" bestFit="1" customWidth="1"/>
    <col min="3" max="3" width="11.21875" bestFit="1" customWidth="1"/>
    <col min="4" max="4" width="15.44140625" bestFit="1" customWidth="1"/>
    <col min="5" max="5" width="12.33203125" bestFit="1" customWidth="1"/>
    <col min="6" max="6" width="18.109375" bestFit="1" customWidth="1"/>
    <col min="8" max="8" width="19.5546875" bestFit="1" customWidth="1"/>
    <col min="10" max="10" width="14.44140625" bestFit="1" customWidth="1"/>
    <col min="12" max="12" width="14.109375" bestFit="1" customWidth="1"/>
    <col min="14" max="14" width="12" bestFit="1" customWidth="1"/>
    <col min="15" max="15" width="8.88671875" customWidth="1"/>
  </cols>
  <sheetData>
    <row r="1" spans="1:10" x14ac:dyDescent="0.3">
      <c r="A1" s="6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8" t="s">
        <v>11</v>
      </c>
      <c r="H1" t="s">
        <v>97</v>
      </c>
      <c r="J1" t="s">
        <v>108</v>
      </c>
    </row>
    <row r="2" spans="1:10" x14ac:dyDescent="0.3">
      <c r="A2" s="5">
        <v>2001</v>
      </c>
      <c r="B2" s="3" t="s">
        <v>12</v>
      </c>
      <c r="C2" s="3" t="s">
        <v>13</v>
      </c>
      <c r="D2" s="3" t="s">
        <v>14</v>
      </c>
      <c r="E2" s="12">
        <v>7048</v>
      </c>
      <c r="F2" s="14">
        <v>44927</v>
      </c>
      <c r="H2" s="1" t="str">
        <f>IF(E2&gt;40000, "Tier 1", IF(E2&gt;20000, "Tier 2", "Tier 3"))</f>
        <v>Tier 3</v>
      </c>
      <c r="J2" s="1" t="str">
        <f>IF(OR(C2="East", E2&gt;35000), "Priority", "Standard")</f>
        <v>Standard</v>
      </c>
    </row>
    <row r="3" spans="1:10" x14ac:dyDescent="0.3">
      <c r="A3" s="5">
        <v>2002</v>
      </c>
      <c r="B3" s="3" t="s">
        <v>15</v>
      </c>
      <c r="C3" s="3" t="s">
        <v>16</v>
      </c>
      <c r="D3" s="3" t="s">
        <v>17</v>
      </c>
      <c r="E3" s="12">
        <v>17428</v>
      </c>
      <c r="F3" s="14">
        <v>44942</v>
      </c>
      <c r="H3" s="1" t="str">
        <f t="shared" ref="H3:H21" si="0">IF(E3&gt;40000, "Tier 1", IF(E3&gt;20000, "Tier 2", "Tier 3"))</f>
        <v>Tier 3</v>
      </c>
      <c r="J3" s="1" t="str">
        <f t="shared" ref="J3:J21" si="1">IF(OR(C3="East", E3&gt;35000), "Priority", "Standard")</f>
        <v>Standard</v>
      </c>
    </row>
    <row r="4" spans="1:10" x14ac:dyDescent="0.3">
      <c r="A4" s="5">
        <v>2003</v>
      </c>
      <c r="B4" s="3" t="s">
        <v>18</v>
      </c>
      <c r="C4" s="3" t="s">
        <v>13</v>
      </c>
      <c r="D4" s="3" t="s">
        <v>19</v>
      </c>
      <c r="E4" s="12">
        <v>23672</v>
      </c>
      <c r="F4" s="14">
        <v>44957</v>
      </c>
      <c r="H4" s="1" t="str">
        <f t="shared" si="0"/>
        <v>Tier 2</v>
      </c>
      <c r="J4" s="1" t="str">
        <f t="shared" si="1"/>
        <v>Standard</v>
      </c>
    </row>
    <row r="5" spans="1:10" x14ac:dyDescent="0.3">
      <c r="A5" s="5">
        <v>2004</v>
      </c>
      <c r="B5" s="3" t="s">
        <v>15</v>
      </c>
      <c r="C5" s="3" t="s">
        <v>20</v>
      </c>
      <c r="D5" s="3" t="s">
        <v>21</v>
      </c>
      <c r="E5" s="12">
        <v>5264</v>
      </c>
      <c r="F5" s="14">
        <v>44972</v>
      </c>
      <c r="H5" s="1" t="str">
        <f t="shared" si="0"/>
        <v>Tier 3</v>
      </c>
      <c r="J5" s="1" t="str">
        <f t="shared" si="1"/>
        <v>Priority</v>
      </c>
    </row>
    <row r="6" spans="1:10" x14ac:dyDescent="0.3">
      <c r="A6" s="5">
        <v>2005</v>
      </c>
      <c r="B6" s="3" t="s">
        <v>12</v>
      </c>
      <c r="C6" s="3" t="s">
        <v>22</v>
      </c>
      <c r="D6" s="3" t="s">
        <v>23</v>
      </c>
      <c r="E6" s="12">
        <v>43388</v>
      </c>
      <c r="F6" s="14">
        <v>44987</v>
      </c>
      <c r="H6" s="1" t="str">
        <f t="shared" si="0"/>
        <v>Tier 1</v>
      </c>
      <c r="J6" s="1" t="str">
        <f t="shared" si="1"/>
        <v>Priority</v>
      </c>
    </row>
    <row r="7" spans="1:10" x14ac:dyDescent="0.3">
      <c r="A7" s="5">
        <v>2006</v>
      </c>
      <c r="B7" s="3" t="s">
        <v>18</v>
      </c>
      <c r="C7" s="3" t="s">
        <v>22</v>
      </c>
      <c r="D7" s="3" t="s">
        <v>24</v>
      </c>
      <c r="E7" s="12">
        <v>19757</v>
      </c>
      <c r="F7" s="14">
        <v>45002</v>
      </c>
      <c r="H7" s="1" t="str">
        <f t="shared" si="0"/>
        <v>Tier 3</v>
      </c>
      <c r="J7" s="1" t="str">
        <f t="shared" si="1"/>
        <v>Standard</v>
      </c>
    </row>
    <row r="8" spans="1:10" x14ac:dyDescent="0.3">
      <c r="A8" s="5">
        <v>2007</v>
      </c>
      <c r="B8" s="3" t="s">
        <v>18</v>
      </c>
      <c r="C8" s="3" t="s">
        <v>20</v>
      </c>
      <c r="D8" s="3" t="s">
        <v>25</v>
      </c>
      <c r="E8" s="12">
        <v>32058</v>
      </c>
      <c r="F8" s="14">
        <v>45017</v>
      </c>
      <c r="H8" s="1" t="str">
        <f t="shared" si="0"/>
        <v>Tier 2</v>
      </c>
      <c r="J8" s="1" t="str">
        <f t="shared" si="1"/>
        <v>Priority</v>
      </c>
    </row>
    <row r="9" spans="1:10" x14ac:dyDescent="0.3">
      <c r="A9" s="5">
        <v>2008</v>
      </c>
      <c r="B9" s="3" t="s">
        <v>12</v>
      </c>
      <c r="C9" s="3" t="s">
        <v>20</v>
      </c>
      <c r="D9" s="3" t="s">
        <v>26</v>
      </c>
      <c r="E9" s="12">
        <v>46429</v>
      </c>
      <c r="F9" s="14">
        <v>45032</v>
      </c>
      <c r="H9" s="1" t="str">
        <f t="shared" si="0"/>
        <v>Tier 1</v>
      </c>
      <c r="J9" s="1" t="str">
        <f t="shared" si="1"/>
        <v>Priority</v>
      </c>
    </row>
    <row r="10" spans="1:10" x14ac:dyDescent="0.3">
      <c r="A10" s="5">
        <v>2009</v>
      </c>
      <c r="B10" s="3" t="s">
        <v>15</v>
      </c>
      <c r="C10" s="3" t="s">
        <v>20</v>
      </c>
      <c r="D10" s="3" t="s">
        <v>27</v>
      </c>
      <c r="E10" s="12">
        <v>19746</v>
      </c>
      <c r="F10" s="14">
        <v>45047</v>
      </c>
      <c r="H10" s="1" t="str">
        <f t="shared" si="0"/>
        <v>Tier 3</v>
      </c>
      <c r="J10" s="1" t="str">
        <f t="shared" si="1"/>
        <v>Priority</v>
      </c>
    </row>
    <row r="11" spans="1:10" x14ac:dyDescent="0.3">
      <c r="A11" s="5">
        <v>2010</v>
      </c>
      <c r="B11" s="3" t="s">
        <v>12</v>
      </c>
      <c r="C11" s="3" t="s">
        <v>13</v>
      </c>
      <c r="D11" s="3" t="s">
        <v>28</v>
      </c>
      <c r="E11" s="12">
        <v>35185</v>
      </c>
      <c r="F11" s="14">
        <v>45062</v>
      </c>
      <c r="H11" s="1" t="str">
        <f t="shared" si="0"/>
        <v>Tier 2</v>
      </c>
      <c r="J11" s="1" t="str">
        <f t="shared" si="1"/>
        <v>Priority</v>
      </c>
    </row>
    <row r="12" spans="1:10" x14ac:dyDescent="0.3">
      <c r="A12" s="5">
        <v>2011</v>
      </c>
      <c r="B12" s="3" t="s">
        <v>12</v>
      </c>
      <c r="C12" s="3" t="s">
        <v>20</v>
      </c>
      <c r="D12" s="3" t="s">
        <v>29</v>
      </c>
      <c r="E12" s="12">
        <v>33920</v>
      </c>
      <c r="F12" s="14">
        <v>45077</v>
      </c>
      <c r="H12" s="1" t="str">
        <f t="shared" si="0"/>
        <v>Tier 2</v>
      </c>
      <c r="J12" s="1" t="str">
        <f t="shared" si="1"/>
        <v>Priority</v>
      </c>
    </row>
    <row r="13" spans="1:10" x14ac:dyDescent="0.3">
      <c r="A13" s="5">
        <v>2012</v>
      </c>
      <c r="B13" s="3" t="s">
        <v>30</v>
      </c>
      <c r="C13" s="3" t="s">
        <v>22</v>
      </c>
      <c r="D13" s="3" t="s">
        <v>31</v>
      </c>
      <c r="E13" s="12">
        <v>35611</v>
      </c>
      <c r="F13" s="14">
        <v>45092</v>
      </c>
      <c r="H13" s="1" t="str">
        <f t="shared" si="0"/>
        <v>Tier 2</v>
      </c>
      <c r="J13" s="1" t="str">
        <f t="shared" si="1"/>
        <v>Priority</v>
      </c>
    </row>
    <row r="14" spans="1:10" x14ac:dyDescent="0.3">
      <c r="A14" s="5">
        <v>2013</v>
      </c>
      <c r="B14" s="3" t="s">
        <v>32</v>
      </c>
      <c r="C14" s="3" t="s">
        <v>20</v>
      </c>
      <c r="D14" s="3" t="s">
        <v>33</v>
      </c>
      <c r="E14" s="12">
        <v>15560</v>
      </c>
      <c r="F14" s="14">
        <v>45107</v>
      </c>
      <c r="H14" s="1" t="str">
        <f t="shared" si="0"/>
        <v>Tier 3</v>
      </c>
      <c r="J14" s="1" t="str">
        <f t="shared" si="1"/>
        <v>Priority</v>
      </c>
    </row>
    <row r="15" spans="1:10" x14ac:dyDescent="0.3">
      <c r="A15" s="5">
        <v>2014</v>
      </c>
      <c r="B15" s="3" t="s">
        <v>32</v>
      </c>
      <c r="C15" s="3" t="s">
        <v>13</v>
      </c>
      <c r="D15" s="3" t="s">
        <v>34</v>
      </c>
      <c r="E15" s="12">
        <v>7283</v>
      </c>
      <c r="F15" s="14">
        <v>45122</v>
      </c>
      <c r="H15" s="1" t="str">
        <f t="shared" si="0"/>
        <v>Tier 3</v>
      </c>
      <c r="J15" s="1" t="str">
        <f t="shared" si="1"/>
        <v>Standard</v>
      </c>
    </row>
    <row r="16" spans="1:10" x14ac:dyDescent="0.3">
      <c r="A16" s="5">
        <v>2015</v>
      </c>
      <c r="B16" s="3" t="s">
        <v>32</v>
      </c>
      <c r="C16" s="3" t="s">
        <v>20</v>
      </c>
      <c r="D16" s="3" t="s">
        <v>35</v>
      </c>
      <c r="E16" s="12">
        <v>15678</v>
      </c>
      <c r="F16" s="14">
        <v>45137</v>
      </c>
      <c r="H16" s="1" t="str">
        <f t="shared" si="0"/>
        <v>Tier 3</v>
      </c>
      <c r="J16" s="1" t="str">
        <f t="shared" si="1"/>
        <v>Priority</v>
      </c>
    </row>
    <row r="17" spans="1:10" x14ac:dyDescent="0.3">
      <c r="A17" s="5">
        <v>2016</v>
      </c>
      <c r="B17" s="3" t="s">
        <v>18</v>
      </c>
      <c r="C17" s="3" t="s">
        <v>20</v>
      </c>
      <c r="D17" s="3" t="s">
        <v>36</v>
      </c>
      <c r="E17" s="12">
        <v>5277</v>
      </c>
      <c r="F17" s="14">
        <v>45152</v>
      </c>
      <c r="H17" s="1" t="str">
        <f t="shared" si="0"/>
        <v>Tier 3</v>
      </c>
      <c r="J17" s="1" t="str">
        <f t="shared" si="1"/>
        <v>Priority</v>
      </c>
    </row>
    <row r="18" spans="1:10" x14ac:dyDescent="0.3">
      <c r="A18" s="5">
        <v>2017</v>
      </c>
      <c r="B18" s="3" t="s">
        <v>30</v>
      </c>
      <c r="C18" s="3" t="s">
        <v>22</v>
      </c>
      <c r="D18" s="3" t="s">
        <v>37</v>
      </c>
      <c r="E18" s="12">
        <v>41871</v>
      </c>
      <c r="F18" s="14">
        <v>45167</v>
      </c>
      <c r="H18" s="1" t="str">
        <f t="shared" si="0"/>
        <v>Tier 1</v>
      </c>
      <c r="J18" s="1" t="str">
        <f t="shared" si="1"/>
        <v>Priority</v>
      </c>
    </row>
    <row r="19" spans="1:10" x14ac:dyDescent="0.3">
      <c r="A19" s="5">
        <v>2018</v>
      </c>
      <c r="B19" s="3" t="s">
        <v>30</v>
      </c>
      <c r="C19" s="3" t="s">
        <v>16</v>
      </c>
      <c r="D19" s="3" t="s">
        <v>38</v>
      </c>
      <c r="E19" s="12">
        <v>38161</v>
      </c>
      <c r="F19" s="14">
        <v>45182</v>
      </c>
      <c r="H19" s="1" t="str">
        <f t="shared" si="0"/>
        <v>Tier 2</v>
      </c>
      <c r="J19" s="1" t="str">
        <f t="shared" si="1"/>
        <v>Priority</v>
      </c>
    </row>
    <row r="20" spans="1:10" x14ac:dyDescent="0.3">
      <c r="A20" s="5">
        <v>2019</v>
      </c>
      <c r="B20" s="3" t="s">
        <v>18</v>
      </c>
      <c r="C20" s="3" t="s">
        <v>16</v>
      </c>
      <c r="D20" s="3" t="s">
        <v>39</v>
      </c>
      <c r="E20" s="12">
        <v>30436</v>
      </c>
      <c r="F20" s="14">
        <v>45197</v>
      </c>
      <c r="H20" s="1" t="str">
        <f t="shared" si="0"/>
        <v>Tier 2</v>
      </c>
      <c r="J20" s="1" t="str">
        <f t="shared" si="1"/>
        <v>Standard</v>
      </c>
    </row>
    <row r="21" spans="1:10" x14ac:dyDescent="0.3">
      <c r="A21" s="9">
        <v>2020</v>
      </c>
      <c r="B21" s="10" t="s">
        <v>15</v>
      </c>
      <c r="C21" s="10" t="s">
        <v>16</v>
      </c>
      <c r="D21" s="10" t="s">
        <v>40</v>
      </c>
      <c r="E21" s="13">
        <v>33953</v>
      </c>
      <c r="F21" s="15">
        <v>45212</v>
      </c>
      <c r="H21" s="1" t="str">
        <f t="shared" si="0"/>
        <v>Tier 2</v>
      </c>
      <c r="J21" s="1" t="str">
        <f t="shared" si="1"/>
        <v>Standard</v>
      </c>
    </row>
    <row r="23" spans="1:10" x14ac:dyDescent="0.3">
      <c r="A23" s="11" t="s">
        <v>98</v>
      </c>
    </row>
    <row r="24" spans="1:10" x14ac:dyDescent="0.3">
      <c r="A24" t="s">
        <v>109</v>
      </c>
      <c r="B24">
        <f>VLOOKUP(2005, $A$2:$F$21, 5, FALSE)</f>
        <v>43388</v>
      </c>
    </row>
    <row r="25" spans="1:10" x14ac:dyDescent="0.3">
      <c r="A25" t="s">
        <v>110</v>
      </c>
      <c r="B25">
        <f>INDEX($E$2:$E$21, MATCH("Person 5", $D$2:$D$21, 0))</f>
        <v>43388</v>
      </c>
    </row>
    <row r="26" spans="1:10" x14ac:dyDescent="0.3">
      <c r="A26" t="s">
        <v>111</v>
      </c>
      <c r="B26">
        <f>_xlfn.XMATCH("Keyboard", $B$2:$B$21)</f>
        <v>1</v>
      </c>
    </row>
    <row r="27" spans="1:10" x14ac:dyDescent="0.3">
      <c r="A27" t="s">
        <v>99</v>
      </c>
      <c r="B27">
        <f>SUM(E2:E21)</f>
        <v>507725</v>
      </c>
    </row>
    <row r="28" spans="1:10" x14ac:dyDescent="0.3">
      <c r="A28" t="s">
        <v>100</v>
      </c>
      <c r="B28">
        <f>SUMIF(C2:C21, "East", E2:E21)</f>
        <v>173932</v>
      </c>
    </row>
    <row r="29" spans="1:10" x14ac:dyDescent="0.3">
      <c r="A29" t="s">
        <v>101</v>
      </c>
      <c r="B29">
        <f>AVERAGEIF(B2:B21, "Keyboard", E2:E21)</f>
        <v>33194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BD6B-689D-4B94-8D17-A5AABB6459B5}">
  <dimension ref="A1:N27"/>
  <sheetViews>
    <sheetView workbookViewId="0">
      <selection activeCell="I24" sqref="I24"/>
    </sheetView>
  </sheetViews>
  <sheetFormatPr defaultRowHeight="14.4" x14ac:dyDescent="0.3"/>
  <cols>
    <col min="1" max="1" width="16.5546875" bestFit="1" customWidth="1"/>
    <col min="2" max="2" width="10.44140625" bestFit="1" customWidth="1"/>
    <col min="3" max="3" width="10" bestFit="1" customWidth="1"/>
    <col min="4" max="4" width="11.77734375" bestFit="1" customWidth="1"/>
    <col min="5" max="5" width="11.33203125" bestFit="1" customWidth="1"/>
    <col min="6" max="6" width="19.109375" bestFit="1" customWidth="1"/>
    <col min="7" max="7" width="17" bestFit="1" customWidth="1"/>
    <col min="8" max="8" width="15.44140625" bestFit="1" customWidth="1"/>
    <col min="9" max="9" width="13.33203125" customWidth="1"/>
    <col min="10" max="10" width="15" bestFit="1" customWidth="1"/>
    <col min="12" max="12" width="19.5546875" bestFit="1" customWidth="1"/>
    <col min="14" max="14" width="21.33203125" bestFit="1" customWidth="1"/>
  </cols>
  <sheetData>
    <row r="1" spans="1:14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H1" s="4" t="s">
        <v>89</v>
      </c>
      <c r="J1" t="s">
        <v>90</v>
      </c>
      <c r="L1" t="s">
        <v>91</v>
      </c>
      <c r="N1" t="s">
        <v>92</v>
      </c>
    </row>
    <row r="2" spans="1:14" x14ac:dyDescent="0.3">
      <c r="A2" s="5">
        <v>1001</v>
      </c>
      <c r="B2" s="3" t="s">
        <v>69</v>
      </c>
      <c r="C2" s="3">
        <v>61</v>
      </c>
      <c r="D2" s="3">
        <v>48</v>
      </c>
      <c r="E2" s="3">
        <v>76</v>
      </c>
      <c r="F2" s="14">
        <v>43101</v>
      </c>
      <c r="H2" s="1" t="str">
        <f>IF(C2&gt;=90, "A", IF(C2&gt;=80, "B", IF(C2&gt;=70, "C", IF(C2&gt;=60, "D", "F"))))</f>
        <v>D</v>
      </c>
      <c r="J2" s="1" t="str">
        <f>IF(D2&gt;=90, "A", IF(D2&gt;=80, "B", IF(D2&gt;=70, "C", IF(D2&gt;=60, "D", "F"))))</f>
        <v>F</v>
      </c>
      <c r="L2" s="1" t="str">
        <f>IF(AND(C2&gt;80, D2&gt;80), "Excellent", "Standard")</f>
        <v>Standard</v>
      </c>
      <c r="N2" s="1" t="str">
        <f>IF(OR(C2&gt;85, E2&gt;85), "Eligible", "Standard")</f>
        <v>Standard</v>
      </c>
    </row>
    <row r="3" spans="1:14" x14ac:dyDescent="0.3">
      <c r="A3" s="5">
        <v>1002</v>
      </c>
      <c r="B3" s="3" t="s">
        <v>70</v>
      </c>
      <c r="C3" s="3">
        <v>78</v>
      </c>
      <c r="D3" s="3">
        <v>76</v>
      </c>
      <c r="E3" s="3">
        <v>70</v>
      </c>
      <c r="F3" s="14">
        <v>43281</v>
      </c>
      <c r="H3" s="1" t="str">
        <f t="shared" ref="H3:H21" si="0">IF(C3&gt;=90, "A", IF(C3&gt;=80, "B", IF(C3&gt;=70, "C", IF(C3&gt;=60, "D", "F"))))</f>
        <v>C</v>
      </c>
      <c r="J3" s="1" t="str">
        <f t="shared" ref="J3:J21" si="1">IF(D3&gt;=90, "A", IF(D3&gt;=80, "B", IF(D3&gt;=70, "C", IF(D3&gt;=60, "D", "F"))))</f>
        <v>C</v>
      </c>
      <c r="L3" s="1" t="str">
        <f t="shared" ref="L3:L21" si="2">IF(AND(C3&gt;80, D3&gt;80), "Excellent", "Standard")</f>
        <v>Standard</v>
      </c>
      <c r="N3" s="1" t="str">
        <f t="shared" ref="N3:N21" si="3">IF(OR(C3&gt;85, E3&gt;85), "Eligible", "Standard")</f>
        <v>Standard</v>
      </c>
    </row>
    <row r="4" spans="1:14" x14ac:dyDescent="0.3">
      <c r="A4" s="5">
        <v>1003</v>
      </c>
      <c r="B4" s="3" t="s">
        <v>71</v>
      </c>
      <c r="C4" s="3">
        <v>97</v>
      </c>
      <c r="D4" s="3">
        <v>60</v>
      </c>
      <c r="E4" s="3">
        <v>51</v>
      </c>
      <c r="F4" s="14">
        <v>43461</v>
      </c>
      <c r="H4" s="1" t="str">
        <f t="shared" si="0"/>
        <v>A</v>
      </c>
      <c r="J4" s="1" t="str">
        <f t="shared" si="1"/>
        <v>D</v>
      </c>
      <c r="L4" s="1" t="str">
        <f t="shared" si="2"/>
        <v>Standard</v>
      </c>
      <c r="N4" s="1" t="str">
        <f t="shared" si="3"/>
        <v>Eligible</v>
      </c>
    </row>
    <row r="5" spans="1:14" x14ac:dyDescent="0.3">
      <c r="A5" s="5">
        <v>1004</v>
      </c>
      <c r="B5" s="3" t="s">
        <v>72</v>
      </c>
      <c r="C5" s="3">
        <v>74</v>
      </c>
      <c r="D5" s="3">
        <v>55</v>
      </c>
      <c r="E5" s="3">
        <v>46</v>
      </c>
      <c r="F5" s="14">
        <v>43641</v>
      </c>
      <c r="H5" s="1" t="str">
        <f t="shared" si="0"/>
        <v>C</v>
      </c>
      <c r="J5" s="1" t="str">
        <f t="shared" si="1"/>
        <v>F</v>
      </c>
      <c r="L5" s="1" t="str">
        <f t="shared" si="2"/>
        <v>Standard</v>
      </c>
      <c r="N5" s="1" t="str">
        <f t="shared" si="3"/>
        <v>Standard</v>
      </c>
    </row>
    <row r="6" spans="1:14" x14ac:dyDescent="0.3">
      <c r="A6" s="5">
        <v>1005</v>
      </c>
      <c r="B6" s="3" t="s">
        <v>73</v>
      </c>
      <c r="C6" s="3">
        <v>68</v>
      </c>
      <c r="D6" s="3">
        <v>74</v>
      </c>
      <c r="E6" s="3">
        <v>84</v>
      </c>
      <c r="F6" s="14">
        <v>43821</v>
      </c>
      <c r="H6" s="1" t="str">
        <f t="shared" si="0"/>
        <v>D</v>
      </c>
      <c r="J6" s="1" t="str">
        <f t="shared" si="1"/>
        <v>C</v>
      </c>
      <c r="L6" s="1" t="str">
        <f t="shared" si="2"/>
        <v>Standard</v>
      </c>
      <c r="N6" s="1" t="str">
        <f t="shared" si="3"/>
        <v>Standard</v>
      </c>
    </row>
    <row r="7" spans="1:14" x14ac:dyDescent="0.3">
      <c r="A7" s="5">
        <v>1006</v>
      </c>
      <c r="B7" s="3" t="s">
        <v>74</v>
      </c>
      <c r="C7" s="3">
        <v>80</v>
      </c>
      <c r="D7" s="3">
        <v>70</v>
      </c>
      <c r="E7" s="3">
        <v>65</v>
      </c>
      <c r="F7" s="14">
        <v>44001</v>
      </c>
      <c r="H7" s="1" t="str">
        <f t="shared" si="0"/>
        <v>B</v>
      </c>
      <c r="J7" s="1" t="str">
        <f t="shared" si="1"/>
        <v>C</v>
      </c>
      <c r="L7" s="1" t="str">
        <f t="shared" si="2"/>
        <v>Standard</v>
      </c>
      <c r="N7" s="1" t="str">
        <f t="shared" si="3"/>
        <v>Standard</v>
      </c>
    </row>
    <row r="8" spans="1:14" x14ac:dyDescent="0.3">
      <c r="A8" s="5">
        <v>1007</v>
      </c>
      <c r="B8" s="3" t="s">
        <v>75</v>
      </c>
      <c r="C8" s="3">
        <v>75</v>
      </c>
      <c r="D8" s="3">
        <v>47</v>
      </c>
      <c r="E8" s="3">
        <v>78</v>
      </c>
      <c r="F8" s="14">
        <v>44181</v>
      </c>
      <c r="H8" s="1" t="str">
        <f t="shared" si="0"/>
        <v>C</v>
      </c>
      <c r="J8" s="1" t="str">
        <f t="shared" si="1"/>
        <v>F</v>
      </c>
      <c r="L8" s="1" t="str">
        <f t="shared" si="2"/>
        <v>Standard</v>
      </c>
      <c r="N8" s="1" t="str">
        <f t="shared" si="3"/>
        <v>Standard</v>
      </c>
    </row>
    <row r="9" spans="1:14" x14ac:dyDescent="0.3">
      <c r="A9" s="5">
        <v>1008</v>
      </c>
      <c r="B9" s="3" t="s">
        <v>76</v>
      </c>
      <c r="C9" s="3">
        <v>94</v>
      </c>
      <c r="D9" s="3">
        <v>67</v>
      </c>
      <c r="E9" s="3">
        <v>64</v>
      </c>
      <c r="F9" s="14">
        <v>44361</v>
      </c>
      <c r="H9" s="1" t="str">
        <f t="shared" si="0"/>
        <v>A</v>
      </c>
      <c r="J9" s="1" t="str">
        <f t="shared" si="1"/>
        <v>D</v>
      </c>
      <c r="L9" s="1" t="str">
        <f t="shared" si="2"/>
        <v>Standard</v>
      </c>
      <c r="N9" s="1" t="str">
        <f t="shared" si="3"/>
        <v>Eligible</v>
      </c>
    </row>
    <row r="10" spans="1:14" x14ac:dyDescent="0.3">
      <c r="A10" s="5">
        <v>1009</v>
      </c>
      <c r="B10" s="3" t="s">
        <v>77</v>
      </c>
      <c r="C10" s="3">
        <v>41</v>
      </c>
      <c r="D10" s="3">
        <v>75</v>
      </c>
      <c r="E10" s="3">
        <v>56</v>
      </c>
      <c r="F10" s="14">
        <v>44541</v>
      </c>
      <c r="H10" s="1" t="str">
        <f t="shared" si="0"/>
        <v>F</v>
      </c>
      <c r="J10" s="1" t="str">
        <f t="shared" si="1"/>
        <v>C</v>
      </c>
      <c r="L10" s="1" t="str">
        <f t="shared" si="2"/>
        <v>Standard</v>
      </c>
      <c r="N10" s="1" t="str">
        <f t="shared" si="3"/>
        <v>Standard</v>
      </c>
    </row>
    <row r="11" spans="1:14" x14ac:dyDescent="0.3">
      <c r="A11" s="5">
        <v>1010</v>
      </c>
      <c r="B11" s="3" t="s">
        <v>78</v>
      </c>
      <c r="C11" s="3">
        <v>98</v>
      </c>
      <c r="D11" s="3">
        <v>54</v>
      </c>
      <c r="E11" s="3">
        <v>58</v>
      </c>
      <c r="F11" s="14">
        <v>44721</v>
      </c>
      <c r="H11" s="1" t="str">
        <f t="shared" si="0"/>
        <v>A</v>
      </c>
      <c r="J11" s="1" t="str">
        <f t="shared" si="1"/>
        <v>F</v>
      </c>
      <c r="L11" s="1" t="str">
        <f t="shared" si="2"/>
        <v>Standard</v>
      </c>
      <c r="N11" s="1" t="str">
        <f t="shared" si="3"/>
        <v>Eligible</v>
      </c>
    </row>
    <row r="12" spans="1:14" x14ac:dyDescent="0.3">
      <c r="A12" s="5">
        <v>1011</v>
      </c>
      <c r="B12" s="3" t="s">
        <v>79</v>
      </c>
      <c r="C12" s="3">
        <v>73</v>
      </c>
      <c r="D12" s="3">
        <v>79</v>
      </c>
      <c r="E12" s="3">
        <v>53</v>
      </c>
      <c r="F12" s="14">
        <v>44901</v>
      </c>
      <c r="H12" s="1" t="str">
        <f t="shared" si="0"/>
        <v>C</v>
      </c>
      <c r="J12" s="1" t="str">
        <f t="shared" si="1"/>
        <v>C</v>
      </c>
      <c r="L12" s="1" t="str">
        <f t="shared" si="2"/>
        <v>Standard</v>
      </c>
      <c r="N12" s="1" t="str">
        <f t="shared" si="3"/>
        <v>Standard</v>
      </c>
    </row>
    <row r="13" spans="1:14" x14ac:dyDescent="0.3">
      <c r="A13" s="5">
        <v>1012</v>
      </c>
      <c r="B13" s="3" t="s">
        <v>80</v>
      </c>
      <c r="C13" s="3">
        <v>85</v>
      </c>
      <c r="D13" s="3">
        <v>89</v>
      </c>
      <c r="E13" s="3">
        <v>79</v>
      </c>
      <c r="F13" s="14">
        <v>45081</v>
      </c>
      <c r="H13" s="1" t="str">
        <f t="shared" si="0"/>
        <v>B</v>
      </c>
      <c r="J13" s="1" t="str">
        <f t="shared" si="1"/>
        <v>B</v>
      </c>
      <c r="L13" s="1" t="str">
        <f t="shared" si="2"/>
        <v>Excellent</v>
      </c>
      <c r="N13" s="1" t="str">
        <f t="shared" si="3"/>
        <v>Standard</v>
      </c>
    </row>
    <row r="14" spans="1:14" x14ac:dyDescent="0.3">
      <c r="A14" s="5">
        <v>1013</v>
      </c>
      <c r="B14" s="3" t="s">
        <v>81</v>
      </c>
      <c r="C14" s="3">
        <v>98</v>
      </c>
      <c r="D14" s="3">
        <v>90</v>
      </c>
      <c r="E14" s="3">
        <v>97</v>
      </c>
      <c r="F14" s="14">
        <v>45261</v>
      </c>
      <c r="H14" s="1" t="str">
        <f t="shared" si="0"/>
        <v>A</v>
      </c>
      <c r="J14" s="1" t="str">
        <f t="shared" si="1"/>
        <v>A</v>
      </c>
      <c r="L14" s="1" t="str">
        <f t="shared" si="2"/>
        <v>Excellent</v>
      </c>
      <c r="N14" s="1" t="str">
        <f t="shared" si="3"/>
        <v>Eligible</v>
      </c>
    </row>
    <row r="15" spans="1:14" x14ac:dyDescent="0.3">
      <c r="A15" s="5">
        <v>1014</v>
      </c>
      <c r="B15" s="3" t="s">
        <v>82</v>
      </c>
      <c r="C15" s="3">
        <v>93</v>
      </c>
      <c r="D15" s="3">
        <v>40</v>
      </c>
      <c r="E15" s="3">
        <v>44</v>
      </c>
      <c r="F15" s="14">
        <v>45441</v>
      </c>
      <c r="H15" s="1" t="str">
        <f t="shared" si="0"/>
        <v>A</v>
      </c>
      <c r="J15" s="1" t="str">
        <f t="shared" si="1"/>
        <v>F</v>
      </c>
      <c r="L15" s="1" t="str">
        <f t="shared" si="2"/>
        <v>Standard</v>
      </c>
      <c r="N15" s="1" t="str">
        <f t="shared" si="3"/>
        <v>Eligible</v>
      </c>
    </row>
    <row r="16" spans="1:14" x14ac:dyDescent="0.3">
      <c r="A16" s="5">
        <v>1015</v>
      </c>
      <c r="B16" s="3" t="s">
        <v>83</v>
      </c>
      <c r="C16" s="3">
        <v>70</v>
      </c>
      <c r="D16" s="3">
        <v>51</v>
      </c>
      <c r="E16" s="3">
        <v>75</v>
      </c>
      <c r="F16" s="14">
        <v>45621</v>
      </c>
      <c r="H16" s="1" t="str">
        <f t="shared" si="0"/>
        <v>C</v>
      </c>
      <c r="J16" s="1" t="str">
        <f t="shared" si="1"/>
        <v>F</v>
      </c>
      <c r="L16" s="1" t="str">
        <f t="shared" si="2"/>
        <v>Standard</v>
      </c>
      <c r="N16" s="1" t="str">
        <f t="shared" si="3"/>
        <v>Standard</v>
      </c>
    </row>
    <row r="17" spans="1:14" x14ac:dyDescent="0.3">
      <c r="A17" s="5">
        <v>1016</v>
      </c>
      <c r="B17" s="3" t="s">
        <v>84</v>
      </c>
      <c r="C17" s="3">
        <v>98</v>
      </c>
      <c r="D17" s="3">
        <v>77</v>
      </c>
      <c r="E17" s="3">
        <v>60</v>
      </c>
      <c r="F17" s="14">
        <v>45801</v>
      </c>
      <c r="H17" s="1" t="str">
        <f t="shared" si="0"/>
        <v>A</v>
      </c>
      <c r="J17" s="1" t="str">
        <f t="shared" si="1"/>
        <v>C</v>
      </c>
      <c r="L17" s="1" t="str">
        <f t="shared" si="2"/>
        <v>Standard</v>
      </c>
      <c r="N17" s="1" t="str">
        <f t="shared" si="3"/>
        <v>Eligible</v>
      </c>
    </row>
    <row r="18" spans="1:14" x14ac:dyDescent="0.3">
      <c r="A18" s="5">
        <v>1017</v>
      </c>
      <c r="B18" s="3" t="s">
        <v>85</v>
      </c>
      <c r="C18" s="3">
        <v>66</v>
      </c>
      <c r="D18" s="3">
        <v>59</v>
      </c>
      <c r="E18" s="3">
        <v>40</v>
      </c>
      <c r="F18" s="14">
        <v>45981</v>
      </c>
      <c r="H18" s="1" t="str">
        <f t="shared" si="0"/>
        <v>D</v>
      </c>
      <c r="J18" s="1" t="str">
        <f t="shared" si="1"/>
        <v>F</v>
      </c>
      <c r="L18" s="1" t="str">
        <f t="shared" si="2"/>
        <v>Standard</v>
      </c>
      <c r="N18" s="1" t="str">
        <f t="shared" si="3"/>
        <v>Standard</v>
      </c>
    </row>
    <row r="19" spans="1:14" x14ac:dyDescent="0.3">
      <c r="A19" s="5">
        <v>1018</v>
      </c>
      <c r="B19" s="3" t="s">
        <v>86</v>
      </c>
      <c r="C19" s="3">
        <v>82</v>
      </c>
      <c r="D19" s="3">
        <v>48</v>
      </c>
      <c r="E19" s="3">
        <v>79</v>
      </c>
      <c r="F19" s="14">
        <v>46161</v>
      </c>
      <c r="H19" s="1" t="str">
        <f t="shared" si="0"/>
        <v>B</v>
      </c>
      <c r="J19" s="1" t="str">
        <f t="shared" si="1"/>
        <v>F</v>
      </c>
      <c r="L19" s="1" t="str">
        <f t="shared" si="2"/>
        <v>Standard</v>
      </c>
      <c r="N19" s="1" t="str">
        <f t="shared" si="3"/>
        <v>Standard</v>
      </c>
    </row>
    <row r="20" spans="1:14" x14ac:dyDescent="0.3">
      <c r="A20" s="5">
        <v>1019</v>
      </c>
      <c r="B20" s="3" t="s">
        <v>87</v>
      </c>
      <c r="C20" s="3">
        <v>90</v>
      </c>
      <c r="D20" s="3">
        <v>78</v>
      </c>
      <c r="E20" s="3">
        <v>60</v>
      </c>
      <c r="F20" s="14">
        <v>46341</v>
      </c>
      <c r="H20" s="1" t="str">
        <f t="shared" si="0"/>
        <v>A</v>
      </c>
      <c r="J20" s="1" t="str">
        <f t="shared" si="1"/>
        <v>C</v>
      </c>
      <c r="L20" s="1" t="str">
        <f t="shared" si="2"/>
        <v>Standard</v>
      </c>
      <c r="N20" s="1" t="str">
        <f t="shared" si="3"/>
        <v>Eligible</v>
      </c>
    </row>
    <row r="21" spans="1:14" x14ac:dyDescent="0.3">
      <c r="A21" s="9">
        <v>1020</v>
      </c>
      <c r="B21" s="10" t="s">
        <v>88</v>
      </c>
      <c r="C21" s="10">
        <v>83</v>
      </c>
      <c r="D21" s="10">
        <v>92</v>
      </c>
      <c r="E21" s="10">
        <v>55</v>
      </c>
      <c r="F21" s="15">
        <v>46521</v>
      </c>
      <c r="H21" s="1" t="str">
        <f t="shared" si="0"/>
        <v>B</v>
      </c>
      <c r="J21" s="1" t="str">
        <f t="shared" si="1"/>
        <v>A</v>
      </c>
      <c r="L21" s="1" t="str">
        <f t="shared" si="2"/>
        <v>Excellent</v>
      </c>
      <c r="N21" s="1" t="str">
        <f t="shared" si="3"/>
        <v>Standard</v>
      </c>
    </row>
    <row r="24" spans="1:14" x14ac:dyDescent="0.3">
      <c r="A24" t="s">
        <v>93</v>
      </c>
    </row>
    <row r="25" spans="1:14" x14ac:dyDescent="0.3">
      <c r="A25" t="s">
        <v>94</v>
      </c>
      <c r="B25">
        <f>COUNTA(A2:A21)</f>
        <v>20</v>
      </c>
    </row>
    <row r="26" spans="1:14" x14ac:dyDescent="0.3">
      <c r="A26" t="s">
        <v>95</v>
      </c>
      <c r="B26">
        <f>COUNTIF(C2:C21, "&gt;60")</f>
        <v>19</v>
      </c>
    </row>
    <row r="27" spans="1:14" x14ac:dyDescent="0.3">
      <c r="A27" t="s">
        <v>96</v>
      </c>
      <c r="B27">
        <f>AVERAGE(C2:C21)</f>
        <v>80.2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1CAC-67CB-445C-B800-6A0259A0FAE2}">
  <dimension ref="A1:M31"/>
  <sheetViews>
    <sheetView topLeftCell="A5" workbookViewId="0">
      <selection activeCell="C30" sqref="C30"/>
    </sheetView>
  </sheetViews>
  <sheetFormatPr defaultRowHeight="14.4" x14ac:dyDescent="0.3"/>
  <cols>
    <col min="1" max="1" width="23.5546875" customWidth="1"/>
    <col min="2" max="2" width="11.44140625" bestFit="1" customWidth="1"/>
    <col min="3" max="3" width="15.5546875" bestFit="1" customWidth="1"/>
    <col min="4" max="4" width="11.88671875" bestFit="1" customWidth="1"/>
    <col min="5" max="5" width="18.109375" bestFit="1" customWidth="1"/>
    <col min="7" max="7" width="16.5546875" bestFit="1" customWidth="1"/>
    <col min="11" max="11" width="16.44140625" bestFit="1" customWidth="1"/>
    <col min="13" max="13" width="18.5546875" bestFit="1" customWidth="1"/>
  </cols>
  <sheetData>
    <row r="1" spans="1:13" x14ac:dyDescent="0.3">
      <c r="A1" s="6" t="s">
        <v>41</v>
      </c>
      <c r="B1" s="7" t="s">
        <v>1</v>
      </c>
      <c r="C1" s="7" t="s">
        <v>42</v>
      </c>
      <c r="D1" s="7" t="s">
        <v>43</v>
      </c>
      <c r="E1" s="8" t="s">
        <v>44</v>
      </c>
      <c r="G1" t="s">
        <v>102</v>
      </c>
      <c r="K1" t="s">
        <v>103</v>
      </c>
      <c r="M1" s="1" t="s">
        <v>112</v>
      </c>
    </row>
    <row r="2" spans="1:13" x14ac:dyDescent="0.3">
      <c r="A2" s="5">
        <v>3001</v>
      </c>
      <c r="B2" s="3" t="s">
        <v>45</v>
      </c>
      <c r="C2" s="3" t="s">
        <v>46</v>
      </c>
      <c r="D2" s="12">
        <v>86766</v>
      </c>
      <c r="E2" s="14">
        <v>42005</v>
      </c>
      <c r="G2" s="1">
        <f>ROUND(D2, -3)</f>
        <v>87000</v>
      </c>
      <c r="K2" s="1" t="str">
        <f>IF(D2&gt;100000, "Senior", IF(D2&gt;60000, "Mid-Level", "Junior"))</f>
        <v>Mid-Level</v>
      </c>
      <c r="M2" s="1">
        <f ca="1">DATEDIF(E2, TODAY(), "Y")</f>
        <v>11</v>
      </c>
    </row>
    <row r="3" spans="1:13" x14ac:dyDescent="0.3">
      <c r="A3" s="5">
        <v>3002</v>
      </c>
      <c r="B3" s="3" t="s">
        <v>47</v>
      </c>
      <c r="C3" s="3" t="s">
        <v>46</v>
      </c>
      <c r="D3" s="12">
        <v>31943</v>
      </c>
      <c r="E3" s="14">
        <v>42255</v>
      </c>
      <c r="G3" s="1">
        <f t="shared" ref="G3:G21" si="0">ROUND(D3, -3)</f>
        <v>32000</v>
      </c>
      <c r="K3" s="1" t="str">
        <f t="shared" ref="K3:K21" si="1">IF(D3&gt;100000, "Senior", IF(D3&gt;60000, "Mid-Level", "Junior"))</f>
        <v>Junior</v>
      </c>
      <c r="M3" s="1">
        <f t="shared" ref="M3:M21" ca="1" si="2">DATEDIF(E3, TODAY(), "Y")</f>
        <v>11</v>
      </c>
    </row>
    <row r="4" spans="1:13" x14ac:dyDescent="0.3">
      <c r="A4" s="5">
        <v>3003</v>
      </c>
      <c r="B4" s="3" t="s">
        <v>48</v>
      </c>
      <c r="C4" s="3" t="s">
        <v>49</v>
      </c>
      <c r="D4" s="12">
        <v>63374</v>
      </c>
      <c r="E4" s="14">
        <v>42505</v>
      </c>
      <c r="G4" s="1">
        <f t="shared" si="0"/>
        <v>63000</v>
      </c>
      <c r="K4" s="1" t="str">
        <f t="shared" si="1"/>
        <v>Mid-Level</v>
      </c>
      <c r="M4" s="1">
        <f t="shared" ca="1" si="2"/>
        <v>10</v>
      </c>
    </row>
    <row r="5" spans="1:13" x14ac:dyDescent="0.3">
      <c r="A5" s="5">
        <v>3004</v>
      </c>
      <c r="B5" s="3" t="s">
        <v>50</v>
      </c>
      <c r="C5" s="3" t="s">
        <v>46</v>
      </c>
      <c r="D5" s="12">
        <v>109972</v>
      </c>
      <c r="E5" s="14">
        <v>42755</v>
      </c>
      <c r="G5" s="1">
        <f t="shared" si="0"/>
        <v>110000</v>
      </c>
      <c r="K5" s="1" t="str">
        <f t="shared" si="1"/>
        <v>Senior</v>
      </c>
      <c r="M5" s="1">
        <f t="shared" ca="1" si="2"/>
        <v>9</v>
      </c>
    </row>
    <row r="6" spans="1:13" x14ac:dyDescent="0.3">
      <c r="A6" s="5">
        <v>3005</v>
      </c>
      <c r="B6" s="3" t="s">
        <v>51</v>
      </c>
      <c r="C6" s="3" t="s">
        <v>52</v>
      </c>
      <c r="D6" s="12">
        <v>54149</v>
      </c>
      <c r="E6" s="14">
        <v>43005</v>
      </c>
      <c r="G6" s="1">
        <f t="shared" si="0"/>
        <v>54000</v>
      </c>
      <c r="K6" s="1" t="str">
        <f t="shared" si="1"/>
        <v>Junior</v>
      </c>
      <c r="M6" s="1">
        <f t="shared" ca="1" si="2"/>
        <v>9</v>
      </c>
    </row>
    <row r="7" spans="1:13" x14ac:dyDescent="0.3">
      <c r="A7" s="5">
        <v>3006</v>
      </c>
      <c r="B7" s="3" t="s">
        <v>53</v>
      </c>
      <c r="C7" s="3" t="s">
        <v>52</v>
      </c>
      <c r="D7" s="12">
        <v>78689</v>
      </c>
      <c r="E7" s="14">
        <v>43255</v>
      </c>
      <c r="G7" s="1">
        <f t="shared" si="0"/>
        <v>79000</v>
      </c>
      <c r="K7" s="1" t="str">
        <f t="shared" si="1"/>
        <v>Mid-Level</v>
      </c>
      <c r="M7" s="1">
        <f t="shared" ca="1" si="2"/>
        <v>8</v>
      </c>
    </row>
    <row r="8" spans="1:13" x14ac:dyDescent="0.3">
      <c r="A8" s="5">
        <v>3007</v>
      </c>
      <c r="B8" s="3" t="s">
        <v>54</v>
      </c>
      <c r="C8" s="3" t="s">
        <v>55</v>
      </c>
      <c r="D8" s="12">
        <v>35960</v>
      </c>
      <c r="E8" s="14">
        <v>43505</v>
      </c>
      <c r="G8" s="1">
        <f t="shared" si="0"/>
        <v>36000</v>
      </c>
      <c r="K8" s="1" t="str">
        <f t="shared" si="1"/>
        <v>Junior</v>
      </c>
      <c r="M8" s="1">
        <f t="shared" ca="1" si="2"/>
        <v>7</v>
      </c>
    </row>
    <row r="9" spans="1:13" x14ac:dyDescent="0.3">
      <c r="A9" s="5">
        <v>3008</v>
      </c>
      <c r="B9" s="3" t="s">
        <v>56</v>
      </c>
      <c r="C9" s="3" t="s">
        <v>52</v>
      </c>
      <c r="D9" s="12">
        <v>91659</v>
      </c>
      <c r="E9" s="14">
        <v>43755</v>
      </c>
      <c r="G9" s="1">
        <f t="shared" si="0"/>
        <v>92000</v>
      </c>
      <c r="K9" s="1" t="str">
        <f t="shared" si="1"/>
        <v>Mid-Level</v>
      </c>
      <c r="M9" s="1">
        <f t="shared" ca="1" si="2"/>
        <v>6</v>
      </c>
    </row>
    <row r="10" spans="1:13" x14ac:dyDescent="0.3">
      <c r="A10" s="5">
        <v>3009</v>
      </c>
      <c r="B10" s="3" t="s">
        <v>57</v>
      </c>
      <c r="C10" s="3" t="s">
        <v>52</v>
      </c>
      <c r="D10" s="12">
        <v>90423</v>
      </c>
      <c r="E10" s="14">
        <v>44005</v>
      </c>
      <c r="G10" s="1">
        <f t="shared" si="0"/>
        <v>90000</v>
      </c>
      <c r="K10" s="1" t="str">
        <f t="shared" si="1"/>
        <v>Mid-Level</v>
      </c>
      <c r="M10" s="1">
        <f t="shared" ca="1" si="2"/>
        <v>6</v>
      </c>
    </row>
    <row r="11" spans="1:13" x14ac:dyDescent="0.3">
      <c r="A11" s="5">
        <v>3010</v>
      </c>
      <c r="B11" s="3" t="s">
        <v>58</v>
      </c>
      <c r="C11" s="3" t="s">
        <v>49</v>
      </c>
      <c r="D11" s="12">
        <v>107877</v>
      </c>
      <c r="E11" s="14">
        <v>44255</v>
      </c>
      <c r="G11" s="1">
        <f t="shared" si="0"/>
        <v>108000</v>
      </c>
      <c r="K11" s="1" t="str">
        <f t="shared" si="1"/>
        <v>Senior</v>
      </c>
      <c r="M11" s="1">
        <f t="shared" ca="1" si="2"/>
        <v>5</v>
      </c>
    </row>
    <row r="12" spans="1:13" x14ac:dyDescent="0.3">
      <c r="A12" s="5">
        <v>3011</v>
      </c>
      <c r="B12" s="3" t="s">
        <v>59</v>
      </c>
      <c r="C12" s="3" t="s">
        <v>46</v>
      </c>
      <c r="D12" s="12">
        <v>107634</v>
      </c>
      <c r="E12" s="14">
        <v>44505</v>
      </c>
      <c r="G12" s="1">
        <f t="shared" si="0"/>
        <v>108000</v>
      </c>
      <c r="K12" s="1" t="str">
        <f t="shared" si="1"/>
        <v>Senior</v>
      </c>
      <c r="M12" s="1">
        <f t="shared" ca="1" si="2"/>
        <v>4</v>
      </c>
    </row>
    <row r="13" spans="1:13" x14ac:dyDescent="0.3">
      <c r="A13" s="5">
        <v>3012</v>
      </c>
      <c r="B13" s="3" t="s">
        <v>60</v>
      </c>
      <c r="C13" s="3" t="s">
        <v>46</v>
      </c>
      <c r="D13" s="12">
        <v>35226</v>
      </c>
      <c r="E13" s="14">
        <v>44755</v>
      </c>
      <c r="G13" s="1">
        <f t="shared" si="0"/>
        <v>35000</v>
      </c>
      <c r="K13" s="1" t="str">
        <f t="shared" si="1"/>
        <v>Junior</v>
      </c>
      <c r="M13" s="1">
        <f t="shared" ca="1" si="2"/>
        <v>4</v>
      </c>
    </row>
    <row r="14" spans="1:13" x14ac:dyDescent="0.3">
      <c r="A14" s="5">
        <v>3013</v>
      </c>
      <c r="B14" s="3" t="s">
        <v>61</v>
      </c>
      <c r="C14" s="3" t="s">
        <v>49</v>
      </c>
      <c r="D14" s="12">
        <v>40872</v>
      </c>
      <c r="E14" s="14">
        <v>45005</v>
      </c>
      <c r="G14" s="1">
        <f t="shared" si="0"/>
        <v>41000</v>
      </c>
      <c r="K14" s="1" t="str">
        <f t="shared" si="1"/>
        <v>Junior</v>
      </c>
      <c r="M14" s="1">
        <f t="shared" ca="1" si="2"/>
        <v>3</v>
      </c>
    </row>
    <row r="15" spans="1:13" x14ac:dyDescent="0.3">
      <c r="A15" s="5">
        <v>3014</v>
      </c>
      <c r="B15" s="3" t="s">
        <v>62</v>
      </c>
      <c r="C15" s="3" t="s">
        <v>49</v>
      </c>
      <c r="D15" s="12">
        <v>55378</v>
      </c>
      <c r="E15" s="14">
        <v>45255</v>
      </c>
      <c r="G15" s="1">
        <f t="shared" si="0"/>
        <v>55000</v>
      </c>
      <c r="K15" s="1" t="str">
        <f t="shared" si="1"/>
        <v>Junior</v>
      </c>
      <c r="M15" s="1">
        <f t="shared" ca="1" si="2"/>
        <v>2</v>
      </c>
    </row>
    <row r="16" spans="1:13" x14ac:dyDescent="0.3">
      <c r="A16" s="5">
        <v>3015</v>
      </c>
      <c r="B16" s="3" t="s">
        <v>63</v>
      </c>
      <c r="C16" s="3" t="s">
        <v>49</v>
      </c>
      <c r="D16" s="12">
        <v>63297</v>
      </c>
      <c r="E16" s="14">
        <v>45505</v>
      </c>
      <c r="G16" s="1">
        <f t="shared" si="0"/>
        <v>63000</v>
      </c>
      <c r="K16" s="1" t="str">
        <f t="shared" si="1"/>
        <v>Mid-Level</v>
      </c>
      <c r="M16" s="1">
        <f t="shared" ca="1" si="2"/>
        <v>2</v>
      </c>
    </row>
    <row r="17" spans="1:13" x14ac:dyDescent="0.3">
      <c r="A17" s="5">
        <v>3016</v>
      </c>
      <c r="B17" s="3" t="s">
        <v>64</v>
      </c>
      <c r="C17" s="3" t="s">
        <v>46</v>
      </c>
      <c r="D17" s="12">
        <v>114173</v>
      </c>
      <c r="E17" s="14">
        <v>45755</v>
      </c>
      <c r="G17" s="1">
        <f t="shared" si="0"/>
        <v>114000</v>
      </c>
      <c r="K17" s="1" t="str">
        <f t="shared" si="1"/>
        <v>Senior</v>
      </c>
      <c r="M17" s="1">
        <f t="shared" ca="1" si="2"/>
        <v>1</v>
      </c>
    </row>
    <row r="18" spans="1:13" x14ac:dyDescent="0.3">
      <c r="A18" s="5">
        <v>3017</v>
      </c>
      <c r="B18" s="3" t="s">
        <v>65</v>
      </c>
      <c r="C18" s="3" t="s">
        <v>49</v>
      </c>
      <c r="D18" s="12">
        <v>86915</v>
      </c>
      <c r="E18" s="14">
        <v>46005</v>
      </c>
      <c r="G18" s="1">
        <f t="shared" si="0"/>
        <v>87000</v>
      </c>
      <c r="K18" s="1" t="str">
        <f t="shared" si="1"/>
        <v>Mid-Level</v>
      </c>
      <c r="M18" s="1">
        <f t="shared" ca="1" si="2"/>
        <v>0</v>
      </c>
    </row>
    <row r="19" spans="1:13" x14ac:dyDescent="0.3">
      <c r="A19" s="5">
        <v>3018</v>
      </c>
      <c r="B19" s="3" t="s">
        <v>66</v>
      </c>
      <c r="C19" s="3" t="s">
        <v>52</v>
      </c>
      <c r="D19" s="12">
        <v>116284</v>
      </c>
      <c r="E19" s="14">
        <v>46255</v>
      </c>
      <c r="G19" s="1">
        <f t="shared" si="0"/>
        <v>116000</v>
      </c>
      <c r="K19" s="1" t="str">
        <f t="shared" si="1"/>
        <v>Senior</v>
      </c>
      <c r="M19" s="1">
        <f t="shared" ca="1" si="2"/>
        <v>0</v>
      </c>
    </row>
    <row r="20" spans="1:13" x14ac:dyDescent="0.3">
      <c r="A20" s="5">
        <v>3019</v>
      </c>
      <c r="B20" s="3" t="s">
        <v>67</v>
      </c>
      <c r="C20" s="3" t="s">
        <v>55</v>
      </c>
      <c r="D20" s="12">
        <v>116283</v>
      </c>
      <c r="E20" s="14">
        <v>46505</v>
      </c>
      <c r="G20" s="1">
        <f t="shared" si="0"/>
        <v>116000</v>
      </c>
      <c r="K20" s="1" t="str">
        <f t="shared" si="1"/>
        <v>Senior</v>
      </c>
      <c r="M20" s="1" t="e">
        <f t="shared" ca="1" si="2"/>
        <v>#NUM!</v>
      </c>
    </row>
    <row r="21" spans="1:13" x14ac:dyDescent="0.3">
      <c r="A21" s="9">
        <v>3020</v>
      </c>
      <c r="B21" s="10" t="s">
        <v>68</v>
      </c>
      <c r="C21" s="10" t="s">
        <v>55</v>
      </c>
      <c r="D21" s="13">
        <v>99924</v>
      </c>
      <c r="E21" s="15">
        <v>46755</v>
      </c>
      <c r="G21" s="1">
        <f t="shared" si="0"/>
        <v>100000</v>
      </c>
      <c r="K21" s="1" t="str">
        <f t="shared" si="1"/>
        <v>Mid-Level</v>
      </c>
      <c r="M21" s="1" t="e">
        <f t="shared" ca="1" si="2"/>
        <v>#NUM!</v>
      </c>
    </row>
    <row r="22" spans="1:13" x14ac:dyDescent="0.3">
      <c r="G22" s="2"/>
    </row>
    <row r="24" spans="1:13" x14ac:dyDescent="0.3">
      <c r="A24" t="s">
        <v>104</v>
      </c>
    </row>
    <row r="25" spans="1:13" x14ac:dyDescent="0.3">
      <c r="A25" t="s">
        <v>105</v>
      </c>
      <c r="B25">
        <f>COUNTA(A2:A21)</f>
        <v>20</v>
      </c>
    </row>
    <row r="26" spans="1:13" x14ac:dyDescent="0.3">
      <c r="A26" t="s">
        <v>106</v>
      </c>
      <c r="B26">
        <f>SUMIF(C2:C21, "Finance", D2:D21)</f>
        <v>485714</v>
      </c>
    </row>
    <row r="27" spans="1:13" x14ac:dyDescent="0.3">
      <c r="A27" t="s">
        <v>107</v>
      </c>
      <c r="B27">
        <f>AVERAGEIF(C2:C21, "IT", D2:D21)</f>
        <v>86240.8</v>
      </c>
    </row>
    <row r="29" spans="1:13" x14ac:dyDescent="0.3">
      <c r="A29" t="s">
        <v>51</v>
      </c>
    </row>
    <row r="30" spans="1:13" x14ac:dyDescent="0.3">
      <c r="A30" t="s">
        <v>113</v>
      </c>
      <c r="B30">
        <f>_xlfn.XLOOKUP(A29, B2:B21, D2:D21)</f>
        <v>54149</v>
      </c>
    </row>
    <row r="31" spans="1:13" x14ac:dyDescent="0.3">
      <c r="A31" t="s">
        <v>114</v>
      </c>
      <c r="B31" s="16" t="str">
        <f>INDEX(C2:C21, MATCH(A29, B2:B21, 0))</f>
        <v>IT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Students Grade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 Malaviya</dc:creator>
  <cp:lastModifiedBy>Shlok Malaviya</cp:lastModifiedBy>
  <dcterms:created xsi:type="dcterms:W3CDTF">2026-09-29T12:29:02Z</dcterms:created>
  <dcterms:modified xsi:type="dcterms:W3CDTF">2026-10-02T06:32:25Z</dcterms:modified>
</cp:coreProperties>
</file>